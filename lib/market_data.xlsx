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w/Documents/Dokumenty — MacBook Pro (Wlodzimierz)/MIMUW/InzFin II/2025_26/IF2Py 2025_26/"/>
    </mc:Choice>
  </mc:AlternateContent>
  <xr:revisionPtr revIDLastSave="0" documentId="8_{97A18314-3C46-AF49-B791-46EB11B004F0}" xr6:coauthVersionLast="47" xr6:coauthVersionMax="47" xr10:uidLastSave="{00000000-0000-0000-0000-000000000000}"/>
  <bookViews>
    <workbookView xWindow="29860" yWindow="15760" windowWidth="34600" windowHeight="20240" activeTab="1" xr2:uid="{B51383EE-1197-F041-BEB4-09EFAF6859AC}"/>
  </bookViews>
  <sheets>
    <sheet name="Volatilities" sheetId="5" r:id="rId1"/>
    <sheet name="SwapPoints&amp;Rat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D3" i="6"/>
  <c r="D4" i="6"/>
  <c r="D5" i="6"/>
  <c r="D6" i="6"/>
  <c r="D7" i="6"/>
  <c r="D8" i="6"/>
  <c r="D9" i="6"/>
  <c r="D2" i="6"/>
</calcChain>
</file>

<file path=xl/sharedStrings.xml><?xml version="1.0" encoding="utf-8"?>
<sst xmlns="http://schemas.openxmlformats.org/spreadsheetml/2006/main" count="62" uniqueCount="29">
  <si>
    <t>1W</t>
  </si>
  <si>
    <t>2W</t>
  </si>
  <si>
    <t>1M</t>
  </si>
  <si>
    <t>2M</t>
  </si>
  <si>
    <t>3M</t>
  </si>
  <si>
    <t>6M</t>
  </si>
  <si>
    <t>9M</t>
  </si>
  <si>
    <t>1Y</t>
  </si>
  <si>
    <t>ATM</t>
  </si>
  <si>
    <t>Expiry</t>
  </si>
  <si>
    <t>Date</t>
  </si>
  <si>
    <t>Tenor</t>
  </si>
  <si>
    <t>Days</t>
  </si>
  <si>
    <t>ATM type</t>
  </si>
  <si>
    <t>Delta type</t>
  </si>
  <si>
    <t>Is premium in</t>
  </si>
  <si>
    <t>True</t>
  </si>
  <si>
    <t>Fwd</t>
  </si>
  <si>
    <t>25RR</t>
  </si>
  <si>
    <t>10RR</t>
  </si>
  <si>
    <t>25BF</t>
  </si>
  <si>
    <t>10BF</t>
  </si>
  <si>
    <t>FX_spot</t>
  </si>
  <si>
    <t>Swap Points</t>
  </si>
  <si>
    <t>Maturity</t>
  </si>
  <si>
    <t>EUR MM rate</t>
  </si>
  <si>
    <t>PLN MM rate</t>
  </si>
  <si>
    <t>Delivery</t>
  </si>
  <si>
    <t>ATM-0D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</si>
</sst>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164" fontId="2" fillId="0" borderId="0" xfId="0" applyNumberFormat="1" applyFont="1"/>
    <xf numFmtId="0" fontId="2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142B-C420-744A-8EEB-2EC90F0F1E2A}">
  <dimension ref="A1:N9"/>
  <sheetViews>
    <sheetView zoomScale="140" zoomScaleNormal="140" workbookViewId="0">
      <selection activeCell="D10" sqref="D10"/>
    </sheetView>
  </sheetViews>
  <sheetFormatPr baseColWidth="10" defaultRowHeight="16" x14ac:dyDescent="0.2"/>
  <cols>
    <col min="12" max="12" width="16.33203125" customWidth="1"/>
    <col min="14" max="14" width="12.1640625" customWidth="1"/>
  </cols>
  <sheetData>
    <row r="1" spans="1:14" x14ac:dyDescent="0.2">
      <c r="A1" t="s">
        <v>11</v>
      </c>
      <c r="B1" t="s">
        <v>10</v>
      </c>
      <c r="C1" t="s">
        <v>9</v>
      </c>
      <c r="D1" t="s">
        <v>27</v>
      </c>
      <c r="E1" t="s">
        <v>12</v>
      </c>
      <c r="F1" t="s">
        <v>8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s="2" t="s">
        <v>13</v>
      </c>
      <c r="M1" s="2" t="s">
        <v>14</v>
      </c>
      <c r="N1" s="2" t="s">
        <v>15</v>
      </c>
    </row>
    <row r="2" spans="1:14" x14ac:dyDescent="0.2">
      <c r="A2" t="s">
        <v>0</v>
      </c>
      <c r="B2" s="1">
        <v>45356</v>
      </c>
      <c r="C2" s="1">
        <v>45363</v>
      </c>
      <c r="D2" s="1">
        <v>45365</v>
      </c>
      <c r="E2">
        <f t="shared" ref="E2:E9" si="0">C2-B2</f>
        <v>7</v>
      </c>
      <c r="F2" s="4">
        <v>4.5199999999999997E-2</v>
      </c>
      <c r="G2" s="4">
        <v>3.4000000000000002E-3</v>
      </c>
      <c r="H2" s="4">
        <v>6.8000000000000005E-3</v>
      </c>
      <c r="I2" s="4">
        <v>1.2999999999999999E-3</v>
      </c>
      <c r="J2" s="4">
        <v>4.8999999999999998E-3</v>
      </c>
      <c r="K2" s="3">
        <v>4.3236999999999997</v>
      </c>
      <c r="L2" t="s">
        <v>28</v>
      </c>
      <c r="M2" t="s">
        <v>17</v>
      </c>
      <c r="N2" t="s">
        <v>16</v>
      </c>
    </row>
    <row r="3" spans="1:14" x14ac:dyDescent="0.2">
      <c r="A3" t="s">
        <v>1</v>
      </c>
      <c r="B3" s="1">
        <v>45356</v>
      </c>
      <c r="C3" s="1">
        <v>45370</v>
      </c>
      <c r="D3" s="1">
        <v>45372</v>
      </c>
      <c r="E3">
        <f t="shared" si="0"/>
        <v>14</v>
      </c>
      <c r="F3" s="4">
        <v>4.7899999999999998E-2</v>
      </c>
      <c r="G3" s="4">
        <v>5.1999999999999998E-3</v>
      </c>
      <c r="H3" s="4">
        <v>1.0200000000000001E-2</v>
      </c>
      <c r="I3" s="4">
        <v>1.5E-3</v>
      </c>
      <c r="J3" s="4">
        <v>5.4000000000000003E-3</v>
      </c>
      <c r="K3" s="3">
        <v>4.3236999999999997</v>
      </c>
      <c r="L3" t="s">
        <v>28</v>
      </c>
      <c r="M3" t="s">
        <v>17</v>
      </c>
      <c r="N3" t="s">
        <v>16</v>
      </c>
    </row>
    <row r="4" spans="1:14" x14ac:dyDescent="0.2">
      <c r="A4" t="s">
        <v>2</v>
      </c>
      <c r="B4" s="1">
        <v>45356</v>
      </c>
      <c r="C4" s="1">
        <v>45386</v>
      </c>
      <c r="D4" s="1">
        <v>45390</v>
      </c>
      <c r="E4">
        <f t="shared" si="0"/>
        <v>30</v>
      </c>
      <c r="F4" s="4">
        <v>4.9699999999999994E-2</v>
      </c>
      <c r="G4" s="4">
        <v>6.5000000000000006E-3</v>
      </c>
      <c r="H4" s="4">
        <v>1.26E-2</v>
      </c>
      <c r="I4" s="4">
        <v>1.5E-3</v>
      </c>
      <c r="J4" s="4">
        <v>5.6999999999999993E-3</v>
      </c>
      <c r="K4" s="3">
        <v>4.3236999999999997</v>
      </c>
      <c r="L4" t="s">
        <v>28</v>
      </c>
      <c r="M4" t="s">
        <v>17</v>
      </c>
      <c r="N4" t="s">
        <v>16</v>
      </c>
    </row>
    <row r="5" spans="1:14" x14ac:dyDescent="0.2">
      <c r="A5" t="s">
        <v>3</v>
      </c>
      <c r="B5" s="1">
        <v>45356</v>
      </c>
      <c r="C5" s="1">
        <v>45414</v>
      </c>
      <c r="D5" s="1">
        <v>45419</v>
      </c>
      <c r="E5">
        <f t="shared" si="0"/>
        <v>58</v>
      </c>
      <c r="F5" s="4">
        <v>5.2600000000000001E-2</v>
      </c>
      <c r="G5" s="4">
        <v>8.6999999999999994E-3</v>
      </c>
      <c r="H5" s="4">
        <v>1.6399999999999998E-2</v>
      </c>
      <c r="I5" s="4">
        <v>1.7000000000000001E-3</v>
      </c>
      <c r="J5" s="4">
        <v>6.4000000000000003E-3</v>
      </c>
      <c r="K5" s="3">
        <v>4.3236999999999997</v>
      </c>
      <c r="L5" t="s">
        <v>28</v>
      </c>
      <c r="M5" t="s">
        <v>17</v>
      </c>
      <c r="N5" t="s">
        <v>16</v>
      </c>
    </row>
    <row r="6" spans="1:14" x14ac:dyDescent="0.2">
      <c r="A6" t="s">
        <v>4</v>
      </c>
      <c r="B6" s="1">
        <v>45356</v>
      </c>
      <c r="C6" s="1">
        <v>45448</v>
      </c>
      <c r="D6" s="1">
        <v>45450</v>
      </c>
      <c r="E6">
        <f t="shared" si="0"/>
        <v>92</v>
      </c>
      <c r="F6" s="4">
        <v>5.3399999999999996E-2</v>
      </c>
      <c r="G6" s="4">
        <v>9.300000000000001E-3</v>
      </c>
      <c r="H6" s="4">
        <v>1.78E-2</v>
      </c>
      <c r="I6" s="4">
        <v>2.0999999999999999E-3</v>
      </c>
      <c r="J6" s="4">
        <v>7.0999999999999995E-3</v>
      </c>
      <c r="K6" s="3">
        <v>4.3236999999999997</v>
      </c>
      <c r="L6" t="s">
        <v>28</v>
      </c>
      <c r="M6" t="s">
        <v>17</v>
      </c>
      <c r="N6" t="s">
        <v>16</v>
      </c>
    </row>
    <row r="7" spans="1:14" x14ac:dyDescent="0.2">
      <c r="A7" t="s">
        <v>5</v>
      </c>
      <c r="B7" s="1">
        <v>45356</v>
      </c>
      <c r="C7" s="1">
        <v>45540</v>
      </c>
      <c r="D7" s="1">
        <v>45544</v>
      </c>
      <c r="E7">
        <f t="shared" si="0"/>
        <v>184</v>
      </c>
      <c r="F7" s="4">
        <v>5.67E-2</v>
      </c>
      <c r="G7" s="4">
        <v>1.24E-2</v>
      </c>
      <c r="H7" s="4">
        <v>2.3399999999999997E-2</v>
      </c>
      <c r="I7" s="4">
        <v>2.7000000000000001E-3</v>
      </c>
      <c r="J7" s="4">
        <v>8.1000000000000013E-3</v>
      </c>
      <c r="K7" s="3">
        <v>4.3236999999999997</v>
      </c>
      <c r="L7" t="s">
        <v>28</v>
      </c>
      <c r="M7" t="s">
        <v>17</v>
      </c>
      <c r="N7" t="s">
        <v>16</v>
      </c>
    </row>
    <row r="8" spans="1:14" x14ac:dyDescent="0.2">
      <c r="A8" t="s">
        <v>6</v>
      </c>
      <c r="B8" s="1">
        <v>45356</v>
      </c>
      <c r="C8" s="1">
        <v>45631</v>
      </c>
      <c r="D8" s="1">
        <v>45635</v>
      </c>
      <c r="E8">
        <f t="shared" si="0"/>
        <v>275</v>
      </c>
      <c r="F8" s="4">
        <v>5.8899999999999994E-2</v>
      </c>
      <c r="G8" s="4">
        <v>1.3100000000000001E-2</v>
      </c>
      <c r="H8" s="4">
        <v>2.4399999999999998E-2</v>
      </c>
      <c r="I8" s="4">
        <v>3.3E-3</v>
      </c>
      <c r="J8" s="4">
        <v>9.5999999999999992E-3</v>
      </c>
      <c r="K8" s="3">
        <v>4.3236999999999997</v>
      </c>
      <c r="L8" t="s">
        <v>28</v>
      </c>
      <c r="M8" t="s">
        <v>17</v>
      </c>
      <c r="N8" t="s">
        <v>16</v>
      </c>
    </row>
    <row r="9" spans="1:14" x14ac:dyDescent="0.2">
      <c r="A9" t="s">
        <v>7</v>
      </c>
      <c r="B9" s="1">
        <v>45356</v>
      </c>
      <c r="C9" s="1">
        <v>45721</v>
      </c>
      <c r="D9" s="1">
        <v>45723</v>
      </c>
      <c r="E9">
        <f t="shared" si="0"/>
        <v>365</v>
      </c>
      <c r="F9" s="4">
        <v>5.9500000000000004E-2</v>
      </c>
      <c r="G9" s="4">
        <v>1.3500000000000002E-2</v>
      </c>
      <c r="H9" s="4">
        <v>2.5499999999999998E-2</v>
      </c>
      <c r="I9" s="4">
        <v>3.4999999999999996E-3</v>
      </c>
      <c r="J9" s="4">
        <v>9.7999999999999997E-3</v>
      </c>
      <c r="K9" s="3">
        <v>4.3236999999999997</v>
      </c>
      <c r="L9" t="s">
        <v>28</v>
      </c>
      <c r="M9" t="s">
        <v>17</v>
      </c>
      <c r="N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962C-E353-8E4D-8D81-62EF4907A493}">
  <dimension ref="A1:H12"/>
  <sheetViews>
    <sheetView tabSelected="1" zoomScale="130" zoomScaleNormal="130" workbookViewId="0">
      <selection activeCell="C14" sqref="C14"/>
    </sheetView>
  </sheetViews>
  <sheetFormatPr baseColWidth="10" defaultRowHeight="16" x14ac:dyDescent="0.2"/>
  <cols>
    <col min="7" max="7" width="12.83203125" customWidth="1"/>
    <col min="8" max="8" width="13" customWidth="1"/>
  </cols>
  <sheetData>
    <row r="1" spans="1:8" x14ac:dyDescent="0.2">
      <c r="A1" t="s">
        <v>11</v>
      </c>
      <c r="B1" t="s">
        <v>10</v>
      </c>
      <c r="C1" t="s">
        <v>24</v>
      </c>
      <c r="D1" t="s">
        <v>12</v>
      </c>
      <c r="E1" t="s">
        <v>22</v>
      </c>
      <c r="F1" t="s">
        <v>23</v>
      </c>
      <c r="G1" s="6" t="s">
        <v>26</v>
      </c>
      <c r="H1" s="6" t="s">
        <v>25</v>
      </c>
    </row>
    <row r="2" spans="1:8" x14ac:dyDescent="0.2">
      <c r="A2" t="s">
        <v>0</v>
      </c>
      <c r="B2" s="1">
        <v>45358</v>
      </c>
      <c r="C2" s="1">
        <v>45365</v>
      </c>
      <c r="D2">
        <f>C2-B2</f>
        <v>7</v>
      </c>
      <c r="E2" s="3">
        <v>4.3236999999999997</v>
      </c>
      <c r="F2">
        <v>27</v>
      </c>
      <c r="G2" s="5">
        <v>5.6</v>
      </c>
      <c r="H2" s="5">
        <v>2.35</v>
      </c>
    </row>
    <row r="3" spans="1:8" x14ac:dyDescent="0.2">
      <c r="A3" t="s">
        <v>1</v>
      </c>
      <c r="B3" s="1">
        <v>45358</v>
      </c>
      <c r="C3" s="1">
        <v>45372</v>
      </c>
      <c r="D3">
        <f t="shared" ref="D3:D9" si="0">C3-B3</f>
        <v>14</v>
      </c>
      <c r="E3" s="3">
        <v>4.3236999999999997</v>
      </c>
      <c r="F3">
        <v>52</v>
      </c>
      <c r="G3" s="5">
        <v>5.65</v>
      </c>
      <c r="H3" s="5">
        <v>2.5</v>
      </c>
    </row>
    <row r="4" spans="1:8" x14ac:dyDescent="0.2">
      <c r="A4" t="s">
        <v>2</v>
      </c>
      <c r="B4" s="1">
        <v>45358</v>
      </c>
      <c r="C4" s="1">
        <v>45390</v>
      </c>
      <c r="D4">
        <f t="shared" si="0"/>
        <v>32</v>
      </c>
      <c r="E4" s="3">
        <v>4.3236999999999997</v>
      </c>
      <c r="F4">
        <v>110</v>
      </c>
      <c r="G4" s="5">
        <v>5.75</v>
      </c>
      <c r="H4" s="5">
        <v>2.65</v>
      </c>
    </row>
    <row r="5" spans="1:8" x14ac:dyDescent="0.2">
      <c r="A5" t="s">
        <v>3</v>
      </c>
      <c r="B5" s="1">
        <v>45358</v>
      </c>
      <c r="C5" s="1">
        <v>45419</v>
      </c>
      <c r="D5">
        <f t="shared" si="0"/>
        <v>61</v>
      </c>
      <c r="E5" s="3">
        <v>4.3236999999999997</v>
      </c>
      <c r="F5">
        <v>210</v>
      </c>
      <c r="G5" s="5">
        <v>5.85</v>
      </c>
      <c r="H5" s="5">
        <v>2.75</v>
      </c>
    </row>
    <row r="6" spans="1:8" x14ac:dyDescent="0.2">
      <c r="A6" t="s">
        <v>4</v>
      </c>
      <c r="B6" s="1">
        <v>45358</v>
      </c>
      <c r="C6" s="1">
        <v>45450</v>
      </c>
      <c r="D6">
        <f t="shared" si="0"/>
        <v>92</v>
      </c>
      <c r="E6" s="3">
        <v>4.3236999999999997</v>
      </c>
      <c r="F6">
        <v>330</v>
      </c>
      <c r="G6" s="5">
        <v>5.9</v>
      </c>
      <c r="H6" s="5">
        <v>2.85</v>
      </c>
    </row>
    <row r="7" spans="1:8" x14ac:dyDescent="0.2">
      <c r="A7" t="s">
        <v>5</v>
      </c>
      <c r="B7" s="1">
        <v>45358</v>
      </c>
      <c r="C7" s="1">
        <v>45544</v>
      </c>
      <c r="D7">
        <f t="shared" si="0"/>
        <v>186</v>
      </c>
      <c r="E7" s="3">
        <v>4.3236999999999997</v>
      </c>
      <c r="F7">
        <v>640</v>
      </c>
      <c r="G7" s="5">
        <v>5.95</v>
      </c>
      <c r="H7" s="5">
        <v>2.9499999999999997</v>
      </c>
    </row>
    <row r="8" spans="1:8" x14ac:dyDescent="0.2">
      <c r="A8" t="s">
        <v>6</v>
      </c>
      <c r="B8" s="1">
        <v>45358</v>
      </c>
      <c r="C8" s="1">
        <v>45635</v>
      </c>
      <c r="D8">
        <f t="shared" si="0"/>
        <v>277</v>
      </c>
      <c r="E8" s="3">
        <v>4.3236999999999997</v>
      </c>
      <c r="F8">
        <v>940</v>
      </c>
      <c r="G8" s="5">
        <v>6</v>
      </c>
      <c r="H8" s="5">
        <v>3</v>
      </c>
    </row>
    <row r="9" spans="1:8" x14ac:dyDescent="0.2">
      <c r="A9" t="s">
        <v>7</v>
      </c>
      <c r="B9" s="1">
        <v>45358</v>
      </c>
      <c r="C9" s="1">
        <v>45723</v>
      </c>
      <c r="D9">
        <f t="shared" si="0"/>
        <v>365</v>
      </c>
      <c r="E9" s="3">
        <v>4.3236999999999997</v>
      </c>
      <c r="F9">
        <v>1220</v>
      </c>
      <c r="G9" s="5">
        <v>6.05</v>
      </c>
      <c r="H9" s="5">
        <v>3.1</v>
      </c>
    </row>
    <row r="10" spans="1:8" x14ac:dyDescent="0.2">
      <c r="H10" s="3"/>
    </row>
    <row r="11" spans="1:8" x14ac:dyDescent="0.2">
      <c r="H11" s="3"/>
    </row>
    <row r="12" spans="1:8" x14ac:dyDescent="0.2">
      <c r="H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Volatilities</vt:lpstr>
      <vt:lpstr>SwapPoints&amp;Rates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Włodzimierz Waluś</dc:creator>
  <cp:lastModifiedBy>Włodzimierz Waluś</cp:lastModifiedBy>
  <dcterms:created xsi:type="dcterms:W3CDTF">2023-06-12T20:10:34Z</dcterms:created>
  <dcterms:modified xsi:type="dcterms:W3CDTF">2026-06-13T13:02:41Z</dcterms:modified>
</cp:coreProperties>
</file>